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nico1\Documents\GitHub\VecinoSeguro\Fase 2\Evidencias Grupales\"/>
    </mc:Choice>
  </mc:AlternateContent>
  <xr:revisionPtr revIDLastSave="0" documentId="13_ncr:1_{B08A882A-D25C-4341-9DD2-7CB49E0AC145}" xr6:coauthVersionLast="47" xr6:coauthVersionMax="47" xr10:uidLastSave="{00000000-0000-0000-0000-000000000000}"/>
  <bookViews>
    <workbookView xWindow="6255" yWindow="3525" windowWidth="21600" windowHeight="1129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D13" i="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<sst xmlns="http://schemas.openxmlformats.org/spreadsheetml/2006/main" count="84" uniqueCount="66">
  <si>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</si>
  <si>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</si>
  <si>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</si>
  <si>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</si>
  <si>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</si>
  <si>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</si>
  <si>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</si>
  <si>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</si>
  <si>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</si>
  <si>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</si>
  <si>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</si>
  <si>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</si>
  <si>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</si>
  <si>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</si>
  <si>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</si>
  <si>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</si>
  <si>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</si>
  <si>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</si>
  <si>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</si>
  <si>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</si>
  <si>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</si>
  <si>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</si>
  <si>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</si>
  <si>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</si>
  <si>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</si>
  <si>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</si>
  <si>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</si>
  <si>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</si>
  <si>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</si>
  <si>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</si>
  <si>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</si>
  <si>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</si>
  <si>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</si>
  <si>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</si>
  <si>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</si>
  <si>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</si>
  <si>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</si>
  <si>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</si>
  <si>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</si>
  <si>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</si>
  <si>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</si>
  <si>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</si>
  <si>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</si>
  <si>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</si>
  <si>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</si>
  <si>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</si>
  <si>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</si>
  <si>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</si>
  <si>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</si>
  <si>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</si>
  <si>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</si>
  <si>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</si>
  <si>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</si>
  <si>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</si>
  <si>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</si>
  <si>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</si>
  <si>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</si>
  <si>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</si>
  <si>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</si>
  <si>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</si>
  <si>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</si>
  <si>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</si>
  <si>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Nicolas Carreño</t>
  </si>
  <si>
    <t>Ian Saldaña</t>
  </si>
  <si>
    <t>Martin Soto</t>
  </si>
  <si>
    <t>Gerardo Yañez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</si>
</sst>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D23" sqref="D23"/>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62</v>
      </c>
      <c r="C4" s="5">
        <f>EVALUACION2!$C$22</f>
        <v>7</v>
      </c>
      <c r="G4" s="1"/>
    </row>
    <row r="5" spans="1:11" x14ac:dyDescent="0.25">
      <c r="A5" s="4">
        <v>2</v>
      </c>
      <c r="B5" s="25" t="s">
        <v>63</v>
      </c>
      <c r="C5" s="5">
        <f>EVALUACION2!$C$22</f>
        <v>7</v>
      </c>
      <c r="G5" s="1"/>
    </row>
    <row r="6" spans="1:11" x14ac:dyDescent="0.25">
      <c r="A6" s="4">
        <v>3</v>
      </c>
      <c r="B6" s="25" t="s">
        <v>64</v>
      </c>
      <c r="C6" s="5">
        <f>EVALUACION2!$C$22</f>
        <v>7</v>
      </c>
      <c r="G6" s="1"/>
    </row>
    <row r="7" spans="1:11" ht="15" customHeight="1" x14ac:dyDescent="0.25">
      <c r="A7" s="4">
        <v>4</v>
      </c>
      <c r="B7" s="25" t="s">
        <v>65</v>
      </c>
      <c r="C7" s="5">
        <f>EVALUACION2!$C$22</f>
        <v>7</v>
      </c>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1"/>
      <c r="B21" s="27" t="s">
        <v>4</v>
      </c>
      <c r="C21" s="31">
        <f>E21+G21+I21+K21</f>
        <v>100</v>
      </c>
      <c r="D21" s="16"/>
      <c r="E21" s="16">
        <f>SUM(E13:E20)</f>
        <v>100</v>
      </c>
      <c r="F21" s="16"/>
      <c r="G21" s="16">
        <f>SUM(G13:G20)</f>
        <v>0</v>
      </c>
      <c r="H21" s="16"/>
      <c r="I21" s="16">
        <f>SUM(I13:I20)</f>
        <v>0</v>
      </c>
      <c r="J21" s="16"/>
      <c r="K21" s="16">
        <f>SUM(K13:K20)</f>
        <v>0</v>
      </c>
    </row>
    <row r="22" spans="1:11" ht="15.75" customHeight="1" outlineLevel="1" x14ac:dyDescent="0.3">
      <c r="A22" s="43"/>
      <c r="B22" s="30" t="s">
        <v>13</v>
      </c>
      <c r="C22" s="17">
        <f>VLOOKUP(C21,ESCALA_IEP!A2:B202,2,FALSE)</f>
        <v>7</v>
      </c>
    </row>
    <row r="23" spans="1:11" ht="15.75" customHeight="1" x14ac:dyDescent="0.25"/>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41</v>
      </c>
      <c r="C5" s="24" t="s">
        <v>32</v>
      </c>
      <c r="D5" s="24" t="s">
        <v>33</v>
      </c>
      <c r="E5" s="24" t="s">
        <v>34</v>
      </c>
      <c r="F5" s="23">
        <v>10</v>
      </c>
    </row>
    <row r="6" spans="1:6" ht="90" thickBot="1" x14ac:dyDescent="0.3">
      <c r="A6" s="24" t="s">
        <v>42</v>
      </c>
      <c r="B6" s="24" t="s">
        <v>43</v>
      </c>
      <c r="C6" s="24" t="s">
        <v>44</v>
      </c>
      <c r="D6" s="24" t="s">
        <v>45</v>
      </c>
      <c r="E6" s="24" t="s">
        <v>46</v>
      </c>
      <c r="F6" s="23">
        <v>25</v>
      </c>
    </row>
    <row r="7" spans="1:6" ht="39" thickBot="1" x14ac:dyDescent="0.3">
      <c r="A7" s="24" t="s">
        <v>47</v>
      </c>
      <c r="B7" s="24" t="s">
        <v>48</v>
      </c>
      <c r="C7" s="24" t="s">
        <v>49</v>
      </c>
      <c r="D7" s="24" t="s">
        <v>50</v>
      </c>
      <c r="E7" s="24" t="s">
        <v>51</v>
      </c>
      <c r="F7" s="23">
        <v>5</v>
      </c>
    </row>
    <row r="8" spans="1:6" ht="51" x14ac:dyDescent="0.25">
      <c r="A8" s="24" t="s">
        <v>35</v>
      </c>
      <c r="B8" s="24" t="s">
        <v>22</v>
      </c>
      <c r="C8" s="24" t="s">
        <v>19</v>
      </c>
      <c r="D8" s="24" t="s">
        <v>20</v>
      </c>
      <c r="E8" s="24" t="s">
        <v>21</v>
      </c>
      <c r="F8" s="38">
        <v>5</v>
      </c>
    </row>
    <row r="9" spans="1:6" ht="51.75" thickBot="1" x14ac:dyDescent="0.3">
      <c r="A9" s="24" t="s">
        <v>52</v>
      </c>
      <c r="B9" s="24" t="s">
        <v>53</v>
      </c>
      <c r="C9" s="24" t="s">
        <v>54</v>
      </c>
      <c r="D9" s="24" t="s">
        <v>55</v>
      </c>
      <c r="E9" s="24" t="s">
        <v>56</v>
      </c>
      <c r="F9" s="23">
        <v>20</v>
      </c>
    </row>
    <row r="10" spans="1:6" ht="64.5" thickBot="1" x14ac:dyDescent="0.3">
      <c r="A10" s="39" t="s">
        <v>57</v>
      </c>
      <c r="B10" s="39" t="s">
        <v>58</v>
      </c>
      <c r="C10" s="39" t="s">
        <v>59</v>
      </c>
      <c r="D10" s="39" t="s">
        <v>60</v>
      </c>
      <c r="E10" s="39" t="s">
        <v>61</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NICOLAS . CARRENO AMESTICA</cp:lastModifiedBy>
  <dcterms:created xsi:type="dcterms:W3CDTF">2023-08-07T04:08:01Z</dcterms:created>
  <dcterms:modified xsi:type="dcterms:W3CDTF">2025-12-03T22:52:15Z</dcterms:modified>
</cp:coreProperties>
</file>